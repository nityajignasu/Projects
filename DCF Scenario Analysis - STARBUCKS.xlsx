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Webpage\DCF with scenario analysis\"/>
    </mc:Choice>
  </mc:AlternateContent>
  <xr:revisionPtr revIDLastSave="0" documentId="13_ncr:1_{E6F01402-119F-4819-B679-EE0118EF096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TARBUCKS" sheetId="6" r:id="rId1"/>
    <sheet name="INPUT" sheetId="5" r:id="rId2"/>
    <sheet name="PROJECTIONS" sheetId="2" r:id="rId3"/>
    <sheet name="DCF CALCULATION" sheetId="3" r:id="rId4"/>
    <sheet name="SCENARIO OUTPUT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4" l="1"/>
  <c r="E5" i="4"/>
  <c r="E4" i="4"/>
  <c r="D6" i="4"/>
  <c r="D5" i="4"/>
  <c r="D4" i="4"/>
  <c r="C6" i="4"/>
  <c r="C5" i="4"/>
  <c r="C4" i="4"/>
  <c r="B6" i="4"/>
  <c r="B5" i="4"/>
  <c r="B4" i="4"/>
  <c r="B3" i="5"/>
  <c r="B3" i="2" s="1"/>
  <c r="B14" i="5"/>
  <c r="B13" i="5"/>
  <c r="C3" i="3" s="1"/>
  <c r="B5" i="5"/>
  <c r="B4" i="2" s="1"/>
  <c r="B10" i="2"/>
  <c r="B9" i="2"/>
  <c r="B8" i="2"/>
  <c r="B2" i="2"/>
  <c r="C8" i="2" l="1"/>
  <c r="D8" i="2" s="1"/>
  <c r="E8" i="2" s="1"/>
  <c r="F8" i="2" s="1"/>
  <c r="G8" i="2" s="1"/>
  <c r="B5" i="2"/>
  <c r="B7" i="2" s="1"/>
  <c r="C11" i="2" s="1"/>
  <c r="B2" i="3" s="1"/>
  <c r="C2" i="3"/>
  <c r="D2" i="3" s="1"/>
  <c r="C6" i="3"/>
  <c r="D6" i="3" s="1"/>
  <c r="D3" i="3"/>
  <c r="C4" i="3"/>
  <c r="D4" i="3" s="1"/>
  <c r="C5" i="3"/>
  <c r="D5" i="3" s="1"/>
  <c r="C9" i="2"/>
  <c r="D9" i="2" s="1"/>
  <c r="E9" i="2" s="1"/>
  <c r="F9" i="2" s="1"/>
  <c r="G9" i="2" s="1"/>
  <c r="C10" i="2"/>
  <c r="D10" i="2" s="1"/>
  <c r="E10" i="2" s="1"/>
  <c r="F10" i="2" s="1"/>
  <c r="G10" i="2" s="1"/>
  <c r="C2" i="2"/>
  <c r="D2" i="2" l="1"/>
  <c r="C5" i="2"/>
  <c r="E2" i="3"/>
  <c r="C7" i="2" l="1"/>
  <c r="D11" i="2" s="1"/>
  <c r="B3" i="3" s="1"/>
  <c r="E3" i="3" s="1"/>
  <c r="D5" i="2"/>
  <c r="E2" i="2"/>
  <c r="D7" i="2" l="1"/>
  <c r="E11" i="2" s="1"/>
  <c r="B4" i="3" s="1"/>
  <c r="E4" i="3" s="1"/>
  <c r="E5" i="2"/>
  <c r="F2" i="2"/>
  <c r="E7" i="2" l="1"/>
  <c r="F11" i="2" s="1"/>
  <c r="B5" i="3" s="1"/>
  <c r="E5" i="3" s="1"/>
  <c r="F5" i="2"/>
  <c r="G2" i="2"/>
  <c r="F7" i="2" l="1"/>
  <c r="G11" i="2" s="1"/>
  <c r="B6" i="3" s="1"/>
  <c r="G5" i="2"/>
  <c r="G7" i="2" s="1"/>
  <c r="E6" i="3" l="1"/>
  <c r="E7" i="3" s="1"/>
  <c r="B8" i="3"/>
  <c r="E8" i="3" s="1"/>
  <c r="E9" i="3" l="1"/>
  <c r="B12" i="3" s="1"/>
  <c r="B13" i="3" s="1"/>
</calcChain>
</file>

<file path=xl/sharedStrings.xml><?xml version="1.0" encoding="utf-8"?>
<sst xmlns="http://schemas.openxmlformats.org/spreadsheetml/2006/main" count="125" uniqueCount="99">
  <si>
    <t>Revenue</t>
  </si>
  <si>
    <t>Operating Income</t>
  </si>
  <si>
    <t>Depreciation and Amortization</t>
  </si>
  <si>
    <t>Net Income</t>
  </si>
  <si>
    <t>Capex</t>
  </si>
  <si>
    <t xml:space="preserve">Change in Working Capital </t>
  </si>
  <si>
    <t xml:space="preserve">STARBUCKS HISTORICAL DATA </t>
  </si>
  <si>
    <t>Revenue Growth %</t>
  </si>
  <si>
    <t>Operating Margin</t>
  </si>
  <si>
    <t>Tax Rate</t>
  </si>
  <si>
    <t>NOPAT</t>
  </si>
  <si>
    <t>Depreciation &amp; Amortization</t>
  </si>
  <si>
    <t>Change in Working Capital</t>
  </si>
  <si>
    <t>Free Cash Flow</t>
  </si>
  <si>
    <t>2029E</t>
  </si>
  <si>
    <t> 1,856.4</t>
  </si>
  <si>
    <t>Interest Expense</t>
  </si>
  <si>
    <t xml:space="preserve">Income Taz Expense </t>
  </si>
  <si>
    <t>2025A</t>
  </si>
  <si>
    <t>2026E</t>
  </si>
  <si>
    <t>2027E</t>
  </si>
  <si>
    <t>2028E</t>
  </si>
  <si>
    <t>2030E</t>
  </si>
  <si>
    <t>WACC</t>
  </si>
  <si>
    <t xml:space="preserve">Year </t>
  </si>
  <si>
    <t>FCF</t>
  </si>
  <si>
    <t>Dsicount Factor</t>
  </si>
  <si>
    <t>PV of FCF</t>
  </si>
  <si>
    <t>Sum of PV of FCF</t>
  </si>
  <si>
    <t>Terminal Growth</t>
  </si>
  <si>
    <t>Terminal Value</t>
  </si>
  <si>
    <t>Enterprise Value</t>
  </si>
  <si>
    <t>Net Debt</t>
  </si>
  <si>
    <t>Shares Outstanding</t>
  </si>
  <si>
    <t>Cash</t>
  </si>
  <si>
    <t>Short Term Debt</t>
  </si>
  <si>
    <t>Long Term Debt</t>
  </si>
  <si>
    <t>Equity Value</t>
  </si>
  <si>
    <t xml:space="preserve">Fair Value per share </t>
  </si>
  <si>
    <t>Scenario</t>
  </si>
  <si>
    <t>Revenue Growth</t>
  </si>
  <si>
    <t>Base Case</t>
  </si>
  <si>
    <t>Bull Case</t>
  </si>
  <si>
    <t>Bear Case</t>
  </si>
  <si>
    <t>Reasoning:</t>
  </si>
  <si>
    <t>RG</t>
  </si>
  <si>
    <t>OM</t>
  </si>
  <si>
    <t>TG</t>
  </si>
  <si>
    <t>long term CAGR</t>
  </si>
  <si>
    <t>High End Growth</t>
  </si>
  <si>
    <t>Weak Macro</t>
  </si>
  <si>
    <t>Mid Range</t>
  </si>
  <si>
    <t>Strong Margins</t>
  </si>
  <si>
    <t>Low Margins</t>
  </si>
  <si>
    <t>Lower Risk</t>
  </si>
  <si>
    <t>Higher Risk</t>
  </si>
  <si>
    <t>Long Term Growth</t>
  </si>
  <si>
    <t>Strong Expansion</t>
  </si>
  <si>
    <t>Slow Economy</t>
  </si>
  <si>
    <t>Fair Value per Share</t>
  </si>
  <si>
    <t xml:space="preserve">Bull Case </t>
  </si>
  <si>
    <t>STARBUCKS CORPORATION - DCF MODEL WITH SCENARIO ANALYSIS</t>
  </si>
  <si>
    <t>Ticker: SBUX | Exchange: NASDAQ</t>
  </si>
  <si>
    <t>Fiscal Year End: September 2025</t>
  </si>
  <si>
    <t>Headquarters: Seattle, Washington</t>
  </si>
  <si>
    <t>Global Store Count: ~38,000+</t>
  </si>
  <si>
    <t>FY25 Revenue: $37.1 billion</t>
  </si>
  <si>
    <t>Market Cap: $90–100 billion range</t>
  </si>
  <si>
    <t>SCENARIO ANALYSIS SUMMARY</t>
  </si>
  <si>
    <t>Base Case (Fair Value: $115)</t>
  </si>
  <si>
    <t>Assumes moderate revenue growth, stable margins, and a 9% WACC.</t>
  </si>
  <si>
    <t>This yields a valuation slightly above the current market pricing, indicating mild undervaluation.</t>
  </si>
  <si>
    <t>Bull Case (Fair Value: $157)</t>
  </si>
  <si>
    <t>Assumes stronger same-store growth, margin expansion, and an improved WACC due to reduced risk.</t>
  </si>
  <si>
    <t>This scenario implies meaningful upside if operating efficiency improves and macro conditions support higher consumer spending.</t>
  </si>
  <si>
    <t>Bear Case (Fair Value: $89)</t>
  </si>
  <si>
    <t>Uses more conservative assumptions: lower revenue growth, margin pressure, and a higher cost of capital.</t>
  </si>
  <si>
    <t>Reflects downside risk if inflation or weakening demand impacts profitability.</t>
  </si>
  <si>
    <t>Conclusion</t>
  </si>
  <si>
    <t>Using a full DCF valuation framework with revenue growth, operating margin, WACC,</t>
  </si>
  <si>
    <t>and terminal growth as key drivers, I evaluated Starbucks (SBUX) under Base, Bull, and Bear scenarios to understand valuation sensitivity.</t>
  </si>
  <si>
    <t>The valuation range ($89 – $157) highlights how sensitive Starbucks’ intrinsic value is to changes in growth and margins.</t>
  </si>
  <si>
    <t>The Base Case suggests the stock is modestly undervalued, while the Bull Case   indicates substantial upside potential if fundamentals strengthen.</t>
  </si>
  <si>
    <t>COMPANY SNAPSHOT</t>
  </si>
  <si>
    <t>Current Market Price: $83.34</t>
  </si>
  <si>
    <t xml:space="preserve">Prepared By: Nitya Jignasu </t>
  </si>
  <si>
    <t>Date: 24/11//2025</t>
  </si>
  <si>
    <t>Industry: Coffee Retail</t>
  </si>
  <si>
    <t>Investment Thesis</t>
  </si>
  <si>
    <t>Strong brand loyalty and global footprint supporting long-term revenue growth.</t>
  </si>
  <si>
    <t>Margin recovery expected from operating efficiency initiatives.</t>
  </si>
  <si>
    <t>International expansion (China, India) remains a major long-term growth driver.</t>
  </si>
  <si>
    <t>Key Risks</t>
  </si>
  <si>
    <t>Slowing consumer spending in core markets</t>
  </si>
  <si>
    <t>Commodity cost increases (coffee, dairy)</t>
  </si>
  <si>
    <t>FX volatility impacting international earnings</t>
  </si>
  <si>
    <t>Prepared using publicly available data. For academic purpose only.</t>
  </si>
  <si>
    <t xml:space="preserve"> Starbucks WACC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</si>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</sst>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1" formatCode="0.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rgb="FF00704A"/>
      <name val="Calibri Light"/>
      <family val="2"/>
      <scheme val="major"/>
    </font>
    <font>
      <sz val="11"/>
      <color rgb="FF6F4E37"/>
      <name val="Calibri"/>
      <family val="2"/>
      <scheme val="minor"/>
    </font>
    <font>
      <sz val="20"/>
      <color rgb="FF00704A"/>
      <name val="Calibri"/>
      <family val="2"/>
      <scheme val="minor"/>
    </font>
    <font>
      <sz val="14"/>
      <color rgb="FF6F4E37"/>
      <name val="Calibri"/>
      <family val="2"/>
      <scheme val="minor"/>
    </font>
    <font>
      <b/>
      <sz val="11"/>
      <color rgb="FF6F4E37"/>
      <name val="Calibri"/>
      <family val="2"/>
      <scheme val="minor"/>
    </font>
    <font>
      <b/>
      <sz val="12"/>
      <color rgb="FF6F4E37"/>
      <name val="Calibri"/>
      <family val="2"/>
      <scheme val="minor"/>
    </font>
    <font>
      <sz val="12"/>
      <color rgb="FF6F4E37"/>
      <name val="Calibri"/>
      <family val="2"/>
      <scheme val="minor"/>
    </font>
    <font>
      <sz val="10"/>
      <color rgb="FF6F4E37"/>
      <name val="Calibri"/>
      <family val="2"/>
      <scheme val="minor"/>
    </font>
    <font>
      <b/>
      <sz val="12"/>
      <color rgb="FF00704A"/>
      <name val="Calibri"/>
      <family val="2"/>
      <scheme val="minor"/>
    </font>
    <font>
      <b/>
      <sz val="14"/>
      <color rgb="FF00704A"/>
      <name val="Calibri"/>
      <family val="2"/>
      <scheme val="minor"/>
    </font>
    <font>
      <i/>
      <sz val="10"/>
      <color rgb="FF6F4E37"/>
      <name val="Calibri"/>
      <family val="2"/>
      <scheme val="minor"/>
    </font>
    <font>
      <b/>
      <sz val="16"/>
      <color rgb="FF00704A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7F3E9"/>
        <bgColor indexed="64"/>
      </patternFill>
    </fill>
    <fill>
      <patternFill patternType="solid">
        <fgColor rgb="FF00B050"/>
        <bgColor indexed="64"/>
      </patternFill>
    </fill>
  </fills>
  <borders count="33">
    <border>
      <left/>
      <right/>
      <top/>
      <bottom/>
      <diagonal/>
    </border>
    <border>
      <left style="thin">
        <color rgb="FF6F4E37"/>
      </left>
      <right/>
      <top/>
      <bottom/>
      <diagonal/>
    </border>
    <border>
      <left/>
      <right style="thin">
        <color rgb="FF6F4E37"/>
      </right>
      <top/>
      <bottom/>
      <diagonal/>
    </border>
    <border>
      <left/>
      <right/>
      <top/>
      <bottom style="thin">
        <color rgb="FF6F4E37"/>
      </bottom>
      <diagonal/>
    </border>
    <border>
      <left style="thin">
        <color rgb="FF6F4E37"/>
      </left>
      <right/>
      <top/>
      <bottom style="thin">
        <color rgb="FF6F4E37"/>
      </bottom>
      <diagonal/>
    </border>
    <border>
      <left/>
      <right style="thin">
        <color rgb="FF6F4E37"/>
      </right>
      <top/>
      <bottom style="thin">
        <color rgb="FF6F4E37"/>
      </bottom>
      <diagonal/>
    </border>
    <border>
      <left/>
      <right/>
      <top style="thin">
        <color rgb="FF6F4E37"/>
      </top>
      <bottom/>
      <diagonal/>
    </border>
    <border>
      <left style="thin">
        <color rgb="FF6F4E37"/>
      </left>
      <right/>
      <top style="thin">
        <color rgb="FF6F4E37"/>
      </top>
      <bottom style="thin">
        <color rgb="FF6F4E37"/>
      </bottom>
      <diagonal/>
    </border>
    <border>
      <left/>
      <right style="thin">
        <color rgb="FF6F4E37"/>
      </right>
      <top style="thin">
        <color rgb="FF6F4E37"/>
      </top>
      <bottom style="thin">
        <color rgb="FF6F4E37"/>
      </bottom>
      <diagonal/>
    </border>
    <border>
      <left style="thin">
        <color rgb="FF6F4E37"/>
      </left>
      <right/>
      <top style="thin">
        <color rgb="FF6F4E37"/>
      </top>
      <bottom/>
      <diagonal/>
    </border>
    <border>
      <left/>
      <right style="thin">
        <color rgb="FF6F4E37"/>
      </right>
      <top style="thin">
        <color rgb="FF6F4E37"/>
      </top>
      <bottom/>
      <diagonal/>
    </border>
    <border>
      <left style="medium">
        <color rgb="FF6F4E37"/>
      </left>
      <right/>
      <top style="medium">
        <color rgb="FF6F4E37"/>
      </top>
      <bottom/>
      <diagonal/>
    </border>
    <border>
      <left style="medium">
        <color rgb="FF6F4E37"/>
      </left>
      <right/>
      <top/>
      <bottom/>
      <diagonal/>
    </border>
    <border>
      <left/>
      <right style="medium">
        <color rgb="FF6F4E37"/>
      </right>
      <top/>
      <bottom/>
      <diagonal/>
    </border>
    <border>
      <left style="medium">
        <color rgb="FF6F4E37"/>
      </left>
      <right/>
      <top/>
      <bottom style="medium">
        <color rgb="FF6F4E37"/>
      </bottom>
      <diagonal/>
    </border>
    <border>
      <left/>
      <right/>
      <top/>
      <bottom style="medium">
        <color rgb="FF6F4E37"/>
      </bottom>
      <diagonal/>
    </border>
    <border>
      <left/>
      <right style="medium">
        <color rgb="FF6F4E37"/>
      </right>
      <top/>
      <bottom style="medium">
        <color rgb="FF6F4E37"/>
      </bottom>
      <diagonal/>
    </border>
    <border>
      <left/>
      <right style="thin">
        <color rgb="FF6F4E37"/>
      </right>
      <top style="medium">
        <color rgb="FF6F4E37"/>
      </top>
      <bottom/>
      <diagonal/>
    </border>
    <border>
      <left style="medium">
        <color rgb="FF6F4E37"/>
      </left>
      <right/>
      <top/>
      <bottom style="thin">
        <color rgb="FF6F4E37"/>
      </bottom>
      <diagonal/>
    </border>
    <border>
      <left/>
      <right/>
      <top style="thin">
        <color rgb="FF6F4E37"/>
      </top>
      <bottom style="thin">
        <color rgb="FF6F4E37"/>
      </bottom>
      <diagonal/>
    </border>
    <border>
      <left style="thin">
        <color rgb="FF6F4E37"/>
      </left>
      <right style="thin">
        <color rgb="FF6F4E37"/>
      </right>
      <top/>
      <bottom style="thin">
        <color rgb="FF6F4E37"/>
      </bottom>
      <diagonal/>
    </border>
    <border>
      <left style="thin">
        <color rgb="FF6F4E37"/>
      </left>
      <right style="thin">
        <color rgb="FF6F4E37"/>
      </right>
      <top style="thin">
        <color rgb="FF6F4E37"/>
      </top>
      <bottom/>
      <diagonal/>
    </border>
    <border>
      <left style="thin">
        <color rgb="FF6F4E37"/>
      </left>
      <right style="thin">
        <color rgb="FF6F4E37"/>
      </right>
      <top/>
      <bottom/>
      <diagonal/>
    </border>
    <border>
      <left/>
      <right/>
      <top style="thin">
        <color rgb="FF6F4E37"/>
      </top>
      <bottom style="double">
        <color rgb="FF6F4E37"/>
      </bottom>
      <diagonal/>
    </border>
    <border>
      <left/>
      <right style="double">
        <color rgb="FF6F4E37"/>
      </right>
      <top/>
      <bottom style="thin">
        <color rgb="FF6F4E37"/>
      </bottom>
      <diagonal/>
    </border>
    <border>
      <left style="double">
        <color rgb="FF6F4E37"/>
      </left>
      <right style="double">
        <color rgb="FF6F4E37"/>
      </right>
      <top style="double">
        <color rgb="FF6F4E37"/>
      </top>
      <bottom style="double">
        <color rgb="FF6F4E37"/>
      </bottom>
      <diagonal/>
    </border>
    <border>
      <left style="double">
        <color rgb="FF6F4E37"/>
      </left>
      <right/>
      <top style="double">
        <color rgb="FF6F4E37"/>
      </top>
      <bottom/>
      <diagonal/>
    </border>
    <border>
      <left style="thin">
        <color rgb="FF6F4E37"/>
      </left>
      <right style="medium">
        <color rgb="FF6F4E37"/>
      </right>
      <top/>
      <bottom/>
      <diagonal/>
    </border>
    <border>
      <left style="thin">
        <color rgb="FF6F4E37"/>
      </left>
      <right style="medium">
        <color rgb="FF6F4E37"/>
      </right>
      <top/>
      <bottom style="thin">
        <color rgb="FF6F4E37"/>
      </bottom>
      <diagonal/>
    </border>
    <border>
      <left style="medium">
        <color rgb="FF6F4E37"/>
      </left>
      <right/>
      <top style="medium">
        <color rgb="FF6F4E37"/>
      </top>
      <bottom style="thin">
        <color rgb="FF6F4E37"/>
      </bottom>
      <diagonal/>
    </border>
    <border>
      <left style="thin">
        <color rgb="FF6F4E37"/>
      </left>
      <right style="thin">
        <color rgb="FF6F4E37"/>
      </right>
      <top style="medium">
        <color rgb="FF6F4E37"/>
      </top>
      <bottom style="thin">
        <color rgb="FF6F4E37"/>
      </bottom>
      <diagonal/>
    </border>
    <border>
      <left/>
      <right style="thin">
        <color rgb="FF6F4E37"/>
      </right>
      <top style="medium">
        <color rgb="FF6F4E37"/>
      </top>
      <bottom style="thin">
        <color rgb="FF6F4E37"/>
      </bottom>
      <diagonal/>
    </border>
    <border>
      <left style="thin">
        <color rgb="FF6F4E37"/>
      </left>
      <right style="medium">
        <color rgb="FF6F4E37"/>
      </right>
      <top style="medium">
        <color rgb="FF6F4E37"/>
      </top>
      <bottom style="thin">
        <color rgb="FF6F4E37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0" fillId="2" borderId="0" xfId="0" applyFill="1"/>
    <xf numFmtId="0" fontId="0" fillId="3" borderId="0" xfId="0" applyFill="1"/>
    <xf numFmtId="2" fontId="0" fillId="3" borderId="0" xfId="0" applyNumberFormat="1" applyFill="1"/>
    <xf numFmtId="0" fontId="0" fillId="4" borderId="0" xfId="0" applyFill="1"/>
    <xf numFmtId="2" fontId="0" fillId="4" borderId="0" xfId="0" applyNumberFormat="1" applyFill="1"/>
    <xf numFmtId="0" fontId="0" fillId="5" borderId="0" xfId="0" applyFill="1"/>
    <xf numFmtId="0" fontId="0" fillId="5" borderId="0" xfId="0" applyFill="1" applyBorder="1"/>
    <xf numFmtId="0" fontId="0" fillId="5" borderId="1" xfId="0" applyFill="1" applyBorder="1"/>
    <xf numFmtId="0" fontId="0" fillId="5" borderId="2" xfId="0" applyFill="1" applyBorder="1"/>
    <xf numFmtId="0" fontId="5" fillId="5" borderId="0" xfId="0" applyFont="1" applyFill="1" applyBorder="1" applyAlignment="1">
      <alignment horizontal="left"/>
    </xf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9" fillId="5" borderId="0" xfId="0" applyFont="1" applyFill="1" applyBorder="1" applyAlignment="1">
      <alignment horizontal="left"/>
    </xf>
    <xf numFmtId="0" fontId="9" fillId="5" borderId="1" xfId="0" applyFont="1" applyFill="1" applyBorder="1" applyAlignment="1">
      <alignment horizontal="left"/>
    </xf>
    <xf numFmtId="0" fontId="9" fillId="5" borderId="0" xfId="0" applyFont="1" applyFill="1" applyBorder="1" applyAlignment="1"/>
    <xf numFmtId="0" fontId="6" fillId="5" borderId="0" xfId="0" applyFont="1" applyFill="1" applyBorder="1" applyAlignment="1">
      <alignment vertical="top"/>
    </xf>
    <xf numFmtId="0" fontId="0" fillId="5" borderId="10" xfId="0" applyFill="1" applyBorder="1"/>
    <xf numFmtId="0" fontId="0" fillId="5" borderId="1" xfId="0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/>
    </xf>
    <xf numFmtId="0" fontId="4" fillId="5" borderId="0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/>
    </xf>
    <xf numFmtId="0" fontId="4" fillId="5" borderId="0" xfId="0" applyFont="1" applyFill="1" applyBorder="1"/>
    <xf numFmtId="0" fontId="8" fillId="5" borderId="0" xfId="0" applyFont="1" applyFill="1" applyBorder="1" applyAlignment="1">
      <alignment horizontal="left"/>
    </xf>
    <xf numFmtId="0" fontId="7" fillId="5" borderId="0" xfId="0" applyFont="1" applyFill="1" applyBorder="1" applyAlignment="1">
      <alignment horizontal="left"/>
    </xf>
    <xf numFmtId="0" fontId="0" fillId="5" borderId="9" xfId="0" applyFill="1" applyBorder="1"/>
    <xf numFmtId="0" fontId="3" fillId="5" borderId="1" xfId="0" applyFont="1" applyFill="1" applyBorder="1" applyAlignment="1">
      <alignment vertical="top"/>
    </xf>
    <xf numFmtId="0" fontId="3" fillId="5" borderId="0" xfId="0" applyFont="1" applyFill="1" applyBorder="1" applyAlignment="1">
      <alignment vertical="top"/>
    </xf>
    <xf numFmtId="0" fontId="10" fillId="5" borderId="0" xfId="0" applyFont="1" applyFill="1" applyBorder="1" applyAlignment="1">
      <alignment vertical="top"/>
    </xf>
    <xf numFmtId="0" fontId="5" fillId="5" borderId="1" xfId="0" applyFont="1" applyFill="1" applyBorder="1" applyAlignment="1"/>
    <xf numFmtId="0" fontId="5" fillId="5" borderId="0" xfId="0" applyFont="1" applyFill="1" applyBorder="1" applyAlignment="1"/>
    <xf numFmtId="0" fontId="8" fillId="5" borderId="0" xfId="0" applyFont="1" applyFill="1" applyBorder="1" applyAlignment="1">
      <alignment horizontal="left"/>
    </xf>
    <xf numFmtId="0" fontId="0" fillId="5" borderId="3" xfId="0" applyFill="1" applyBorder="1" applyAlignment="1">
      <alignment horizontal="center"/>
    </xf>
    <xf numFmtId="0" fontId="13" fillId="5" borderId="3" xfId="0" applyFont="1" applyFill="1" applyBorder="1" applyAlignment="1"/>
    <xf numFmtId="0" fontId="9" fillId="5" borderId="1" xfId="0" applyFont="1" applyFill="1" applyBorder="1" applyAlignment="1">
      <alignment horizontal="left" vertical="center"/>
    </xf>
    <xf numFmtId="0" fontId="9" fillId="5" borderId="0" xfId="0" applyFont="1" applyFill="1" applyBorder="1" applyAlignment="1">
      <alignment horizontal="left" vertical="center"/>
    </xf>
    <xf numFmtId="0" fontId="0" fillId="5" borderId="0" xfId="0" applyFill="1" applyBorder="1" applyAlignment="1">
      <alignment wrapText="1"/>
    </xf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0" fontId="0" fillId="5" borderId="15" xfId="0" applyFill="1" applyBorder="1"/>
    <xf numFmtId="0" fontId="0" fillId="5" borderId="16" xfId="0" applyFill="1" applyBorder="1"/>
    <xf numFmtId="0" fontId="0" fillId="5" borderId="17" xfId="0" applyFill="1" applyBorder="1"/>
    <xf numFmtId="4" fontId="0" fillId="5" borderId="2" xfId="0" applyNumberFormat="1" applyFill="1" applyBorder="1"/>
    <xf numFmtId="4" fontId="2" fillId="5" borderId="2" xfId="0" applyNumberFormat="1" applyFont="1" applyFill="1" applyBorder="1"/>
    <xf numFmtId="2" fontId="2" fillId="5" borderId="2" xfId="2" applyNumberFormat="1" applyFont="1" applyFill="1" applyBorder="1"/>
    <xf numFmtId="9" fontId="2" fillId="5" borderId="2" xfId="0" applyNumberFormat="1" applyFont="1" applyFill="1" applyBorder="1"/>
    <xf numFmtId="10" fontId="2" fillId="5" borderId="2" xfId="0" applyNumberFormat="1" applyFont="1" applyFill="1" applyBorder="1"/>
    <xf numFmtId="43" fontId="0" fillId="5" borderId="2" xfId="1" applyFont="1" applyFill="1" applyBorder="1"/>
    <xf numFmtId="0" fontId="0" fillId="5" borderId="18" xfId="0" applyFill="1" applyBorder="1"/>
    <xf numFmtId="43" fontId="0" fillId="5" borderId="5" xfId="1" applyFont="1" applyFill="1" applyBorder="1"/>
    <xf numFmtId="0" fontId="2" fillId="5" borderId="7" xfId="0" applyFont="1" applyFill="1" applyBorder="1"/>
    <xf numFmtId="0" fontId="2" fillId="5" borderId="19" xfId="0" applyFont="1" applyFill="1" applyBorder="1"/>
    <xf numFmtId="0" fontId="2" fillId="5" borderId="8" xfId="0" applyFont="1" applyFill="1" applyBorder="1"/>
    <xf numFmtId="0" fontId="2" fillId="5" borderId="3" xfId="0" applyFont="1" applyFill="1" applyBorder="1"/>
    <xf numFmtId="0" fontId="2" fillId="5" borderId="5" xfId="0" applyFont="1" applyFill="1" applyBorder="1"/>
    <xf numFmtId="0" fontId="0" fillId="5" borderId="2" xfId="0" applyFill="1" applyBorder="1" applyAlignment="1">
      <alignment wrapText="1"/>
    </xf>
    <xf numFmtId="0" fontId="0" fillId="5" borderId="3" xfId="0" applyFill="1" applyBorder="1" applyAlignment="1">
      <alignment wrapText="1"/>
    </xf>
    <xf numFmtId="0" fontId="0" fillId="5" borderId="5" xfId="0" applyFill="1" applyBorder="1" applyAlignment="1">
      <alignment wrapText="1"/>
    </xf>
    <xf numFmtId="0" fontId="2" fillId="5" borderId="21" xfId="0" applyFont="1" applyFill="1" applyBorder="1"/>
    <xf numFmtId="0" fontId="0" fillId="5" borderId="20" xfId="0" applyFill="1" applyBorder="1"/>
    <xf numFmtId="0" fontId="2" fillId="5" borderId="22" xfId="0" applyFont="1" applyFill="1" applyBorder="1"/>
    <xf numFmtId="0" fontId="2" fillId="5" borderId="20" xfId="0" applyFont="1" applyFill="1" applyBorder="1"/>
    <xf numFmtId="2" fontId="0" fillId="5" borderId="0" xfId="0" applyNumberForma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2" fontId="0" fillId="5" borderId="3" xfId="0" applyNumberFormat="1" applyFill="1" applyBorder="1" applyAlignment="1">
      <alignment horizontal="center"/>
    </xf>
    <xf numFmtId="171" fontId="0" fillId="5" borderId="2" xfId="0" applyNumberForma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21" xfId="0" applyFill="1" applyBorder="1"/>
    <xf numFmtId="0" fontId="0" fillId="5" borderId="22" xfId="0" applyFill="1" applyBorder="1"/>
    <xf numFmtId="0" fontId="0" fillId="5" borderId="22" xfId="0" applyFill="1" applyBorder="1" applyAlignment="1">
      <alignment wrapText="1"/>
    </xf>
    <xf numFmtId="0" fontId="0" fillId="5" borderId="20" xfId="0" applyFill="1" applyBorder="1" applyAlignment="1">
      <alignment wrapText="1"/>
    </xf>
    <xf numFmtId="0" fontId="0" fillId="5" borderId="22" xfId="0" applyFill="1" applyBorder="1" applyAlignment="1">
      <alignment horizontal="center" wrapText="1"/>
    </xf>
    <xf numFmtId="0" fontId="0" fillId="5" borderId="22" xfId="0" applyFill="1" applyBorder="1" applyAlignment="1">
      <alignment horizontal="center"/>
    </xf>
    <xf numFmtId="0" fontId="0" fillId="5" borderId="20" xfId="0" applyFill="1" applyBorder="1" applyAlignment="1">
      <alignment horizontal="center"/>
    </xf>
    <xf numFmtId="4" fontId="0" fillId="5" borderId="2" xfId="0" applyNumberFormat="1" applyFill="1" applyBorder="1" applyAlignment="1">
      <alignment horizontal="right"/>
    </xf>
    <xf numFmtId="0" fontId="0" fillId="5" borderId="23" xfId="0" applyFill="1" applyBorder="1"/>
    <xf numFmtId="0" fontId="0" fillId="5" borderId="24" xfId="0" applyFill="1" applyBorder="1"/>
    <xf numFmtId="0" fontId="2" fillId="6" borderId="25" xfId="0" applyFont="1" applyFill="1" applyBorder="1"/>
    <xf numFmtId="0" fontId="14" fillId="5" borderId="11" xfId="0" applyFont="1" applyFill="1" applyBorder="1" applyAlignment="1">
      <alignment vertical="center"/>
    </xf>
    <xf numFmtId="0" fontId="11" fillId="5" borderId="0" xfId="0" applyFont="1" applyFill="1"/>
    <xf numFmtId="43" fontId="0" fillId="5" borderId="0" xfId="0" applyNumberFormat="1" applyFill="1" applyBorder="1"/>
    <xf numFmtId="4" fontId="0" fillId="5" borderId="22" xfId="0" applyNumberFormat="1" applyFill="1" applyBorder="1"/>
    <xf numFmtId="2" fontId="2" fillId="5" borderId="22" xfId="0" applyNumberFormat="1" applyFont="1" applyFill="1" applyBorder="1"/>
    <xf numFmtId="4" fontId="2" fillId="5" borderId="22" xfId="0" applyNumberFormat="1" applyFont="1" applyFill="1" applyBorder="1"/>
    <xf numFmtId="2" fontId="0" fillId="5" borderId="22" xfId="0" applyNumberFormat="1" applyFill="1" applyBorder="1"/>
    <xf numFmtId="43" fontId="0" fillId="5" borderId="22" xfId="1" applyFont="1" applyFill="1" applyBorder="1"/>
    <xf numFmtId="9" fontId="0" fillId="5" borderId="2" xfId="0" applyNumberFormat="1" applyFill="1" applyBorder="1"/>
    <xf numFmtId="43" fontId="0" fillId="5" borderId="27" xfId="1" applyFont="1" applyFill="1" applyBorder="1"/>
    <xf numFmtId="1" fontId="0" fillId="5" borderId="15" xfId="0" applyNumberFormat="1" applyFill="1" applyBorder="1"/>
    <xf numFmtId="43" fontId="0" fillId="5" borderId="28" xfId="1" applyFont="1" applyFill="1" applyBorder="1"/>
    <xf numFmtId="0" fontId="12" fillId="5" borderId="29" xfId="0" applyFont="1" applyFill="1" applyBorder="1"/>
    <xf numFmtId="0" fontId="12" fillId="5" borderId="30" xfId="0" applyFont="1" applyFill="1" applyBorder="1"/>
    <xf numFmtId="0" fontId="12" fillId="5" borderId="31" xfId="0" applyFont="1" applyFill="1" applyBorder="1"/>
    <xf numFmtId="0" fontId="12" fillId="5" borderId="32" xfId="0" applyFont="1" applyFill="1" applyBorder="1"/>
    <xf numFmtId="0" fontId="4" fillId="5" borderId="1" xfId="0" applyFont="1" applyFill="1" applyBorder="1" applyAlignment="1">
      <alignment horizontal="left" vertical="top"/>
    </xf>
    <xf numFmtId="0" fontId="4" fillId="5" borderId="0" xfId="0" applyFont="1" applyFill="1" applyBorder="1" applyAlignment="1">
      <alignment horizontal="left" vertical="top"/>
    </xf>
    <xf numFmtId="0" fontId="0" fillId="5" borderId="26" xfId="0" applyFill="1" applyBorder="1"/>
    <xf numFmtId="0" fontId="11" fillId="5" borderId="4" xfId="0" applyFont="1" applyFill="1" applyBorder="1" applyAlignment="1">
      <alignment horizontal="center"/>
    </xf>
    <xf numFmtId="0" fontId="11" fillId="5" borderId="20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6F4E37"/>
      <color rgb="FF00704A"/>
      <color rgb="FFF7F3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DCF Scenario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'SCENARIO OUTPUT'!$A$4</c:f>
              <c:strCache>
                <c:ptCount val="1"/>
                <c:pt idx="0">
                  <c:v>Base Case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'SCENARIO OUTPUT'!$B$3:$F$3</c15:sqref>
                  </c15:fullRef>
                </c:ext>
              </c:extLst>
              <c:f>'SCENARIO OUTPUT'!$F$3</c:f>
              <c:strCache>
                <c:ptCount val="1"/>
                <c:pt idx="0">
                  <c:v>Fair Value per Share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'SCENARIO OUTPUT'!$B$4:$F$4</c15:sqref>
                  </c15:fullRef>
                </c:ext>
              </c:extLst>
              <c:f>'SCENARIO OUTPUT'!$F$4</c:f>
              <c:numCache>
                <c:formatCode>0.00</c:formatCode>
                <c:ptCount val="1"/>
                <c:pt idx="0" formatCode="General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58-4061-90C9-B7413F718480}"/>
            </c:ext>
          </c:extLst>
        </c:ser>
        <c:ser>
          <c:idx val="1"/>
          <c:order val="1"/>
          <c:tx>
            <c:strRef>
              <c:f>'SCENARIO OUTPUT'!$A$5</c:f>
              <c:strCache>
                <c:ptCount val="1"/>
                <c:pt idx="0">
                  <c:v>Bull Case 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'SCENARIO OUTPUT'!$B$3:$F$3</c15:sqref>
                  </c15:fullRef>
                </c:ext>
              </c:extLst>
              <c:f>'SCENARIO OUTPUT'!$F$3</c:f>
              <c:strCache>
                <c:ptCount val="1"/>
                <c:pt idx="0">
                  <c:v>Fair Value per Share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'SCENARIO OUTPUT'!$B$5:$F$5</c15:sqref>
                  </c15:fullRef>
                </c:ext>
              </c:extLst>
              <c:f>'SCENARIO OUTPUT'!$F$5</c:f>
              <c:numCache>
                <c:formatCode>General</c:formatCode>
                <c:ptCount val="1"/>
                <c:pt idx="0">
                  <c:v>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58-4061-90C9-B7413F718480}"/>
            </c:ext>
          </c:extLst>
        </c:ser>
        <c:ser>
          <c:idx val="2"/>
          <c:order val="2"/>
          <c:tx>
            <c:strRef>
              <c:f>'SCENARIO OUTPUT'!$A$6</c:f>
              <c:strCache>
                <c:ptCount val="1"/>
                <c:pt idx="0">
                  <c:v>Bear Case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'SCENARIO OUTPUT'!$B$3:$F$3</c15:sqref>
                  </c15:fullRef>
                </c:ext>
              </c:extLst>
              <c:f>'SCENARIO OUTPUT'!$F$3</c:f>
              <c:strCache>
                <c:ptCount val="1"/>
                <c:pt idx="0">
                  <c:v>Fair Value per Share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'SCENARIO OUTPUT'!$B$6:$F$6</c15:sqref>
                  </c15:fullRef>
                </c:ext>
              </c:extLst>
              <c:f>'SCENARIO OUTPUT'!$F$6</c:f>
              <c:numCache>
                <c:formatCode>General</c:formatCode>
                <c:ptCount val="1"/>
                <c:pt idx="0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58-4061-90C9-B7413F71848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320444624"/>
        <c:axId val="324893952"/>
      </c:barChart>
      <c:catAx>
        <c:axId val="320444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893952"/>
        <c:crosses val="autoZero"/>
        <c:auto val="1"/>
        <c:lblAlgn val="ctr"/>
        <c:lblOffset val="100"/>
        <c:noMultiLvlLbl val="0"/>
      </c:catAx>
      <c:valAx>
        <c:axId val="324893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444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en.wikipedia.org/wiki/Starbucks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456847</xdr:colOff>
      <xdr:row>4</xdr:row>
      <xdr:rowOff>28574</xdr:rowOff>
    </xdr:from>
    <xdr:to>
      <xdr:col>19</xdr:col>
      <xdr:colOff>461962</xdr:colOff>
      <xdr:row>9</xdr:row>
      <xdr:rowOff>57148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52C548-68FE-271B-8F9A-02D8BF444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1739210" y="752474"/>
          <a:ext cx="1300515" cy="13096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616743</xdr:colOff>
      <xdr:row>8</xdr:row>
      <xdr:rowOff>100013</xdr:rowOff>
    </xdr:from>
    <xdr:to>
      <xdr:col>5</xdr:col>
      <xdr:colOff>831055</xdr:colOff>
      <xdr:row>23</xdr:row>
      <xdr:rowOff>128588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7C0B78-453F-8BD4-F4FC-7726023AA5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1658F-1496-4772-877E-E3B48B04D543}">
  <sheetPr>
    <pageSetUpPr autoPageBreaks="0"/>
  </sheetPr>
  <dimension ref="A1:V33"/>
  <sheetViews>
    <sheetView tabSelected="1" zoomScaleNormal="100" workbookViewId="0">
      <selection activeCell="L46" sqref="L46"/>
    </sheetView>
  </sheetViews>
  <sheetFormatPr defaultRowHeight="14.25" x14ac:dyDescent="0.45"/>
  <cols>
    <col min="1" max="4" width="9.06640625" style="6"/>
    <col min="5" max="5" width="11.46484375" style="6" customWidth="1"/>
    <col min="6" max="11" width="9.06640625" style="6"/>
    <col min="12" max="12" width="10.46484375" style="6" customWidth="1"/>
    <col min="13" max="16384" width="9.06640625" style="6"/>
  </cols>
  <sheetData>
    <row r="1" spans="1:22" x14ac:dyDescent="0.45">
      <c r="A1" s="27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9"/>
    </row>
    <row r="2" spans="1:22" ht="14.25" customHeight="1" x14ac:dyDescent="0.45">
      <c r="A2" s="28" t="s">
        <v>61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7"/>
      <c r="V2" s="9"/>
    </row>
    <row r="3" spans="1:22" ht="14.25" customHeight="1" x14ac:dyDescent="0.45">
      <c r="A3" s="28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7"/>
      <c r="V3" s="9"/>
    </row>
    <row r="4" spans="1:22" ht="14.25" customHeight="1" x14ac:dyDescent="0.45">
      <c r="A4" s="28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7"/>
      <c r="V4" s="9"/>
    </row>
    <row r="5" spans="1:22" ht="14.25" customHeight="1" x14ac:dyDescent="0.45">
      <c r="A5" s="28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7"/>
      <c r="V5" s="9"/>
    </row>
    <row r="6" spans="1:22" ht="31.5" customHeight="1" x14ac:dyDescent="0.45">
      <c r="A6" s="36" t="s">
        <v>85</v>
      </c>
      <c r="B6" s="37"/>
      <c r="C6" s="37"/>
      <c r="D6" s="7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7"/>
      <c r="R6" s="30"/>
      <c r="S6" s="30"/>
      <c r="T6" s="7"/>
      <c r="U6" s="7"/>
      <c r="V6" s="9"/>
    </row>
    <row r="7" spans="1:22" ht="17.649999999999999" customHeight="1" x14ac:dyDescent="0.45">
      <c r="A7" s="98" t="s">
        <v>86</v>
      </c>
      <c r="B7" s="99"/>
      <c r="C7" s="7"/>
      <c r="D7" s="30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7"/>
      <c r="S7" s="7"/>
      <c r="T7" s="7"/>
      <c r="U7" s="7"/>
      <c r="V7" s="9"/>
    </row>
    <row r="8" spans="1:22" ht="24" customHeight="1" x14ac:dyDescent="0.75">
      <c r="A8" s="8"/>
      <c r="B8" s="7"/>
      <c r="C8" s="7"/>
      <c r="D8" s="7"/>
      <c r="E8" s="7"/>
      <c r="F8" s="7"/>
      <c r="G8" s="7"/>
      <c r="H8" s="10" t="s">
        <v>68</v>
      </c>
      <c r="I8" s="10"/>
      <c r="J8" s="10"/>
      <c r="K8" s="10"/>
      <c r="L8" s="10"/>
      <c r="M8" s="18"/>
      <c r="N8" s="18"/>
      <c r="O8" s="18"/>
      <c r="P8" s="18"/>
      <c r="Q8" s="18"/>
      <c r="R8" s="7"/>
      <c r="S8" s="7"/>
      <c r="T8" s="7"/>
      <c r="U8" s="7"/>
      <c r="V8" s="9"/>
    </row>
    <row r="9" spans="1:22" ht="13.5" customHeight="1" x14ac:dyDescent="0.45">
      <c r="A9" s="8"/>
      <c r="B9" s="7"/>
      <c r="C9" s="7"/>
      <c r="D9" s="7"/>
      <c r="E9" s="7"/>
      <c r="F9" s="7"/>
      <c r="G9" s="7"/>
      <c r="H9" s="7" t="s">
        <v>79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9"/>
    </row>
    <row r="10" spans="1:22" ht="22.5" customHeight="1" x14ac:dyDescent="0.75">
      <c r="A10" s="23" t="s">
        <v>83</v>
      </c>
      <c r="B10" s="10"/>
      <c r="C10" s="10"/>
      <c r="D10" s="10"/>
      <c r="E10" s="10"/>
      <c r="F10" s="7"/>
      <c r="G10" s="7"/>
      <c r="H10" s="7" t="s">
        <v>80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9"/>
    </row>
    <row r="11" spans="1:22" x14ac:dyDescent="0.45">
      <c r="A11" s="8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9"/>
    </row>
    <row r="12" spans="1:22" ht="15.75" x14ac:dyDescent="0.5">
      <c r="A12" s="16" t="s">
        <v>64</v>
      </c>
      <c r="B12" s="15"/>
      <c r="C12" s="15"/>
      <c r="D12" s="15"/>
      <c r="E12" s="15"/>
      <c r="F12" s="7"/>
      <c r="G12" s="7"/>
      <c r="H12" s="25" t="s">
        <v>69</v>
      </c>
      <c r="I12" s="25"/>
      <c r="J12" s="25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9"/>
    </row>
    <row r="13" spans="1:22" ht="15.75" x14ac:dyDescent="0.5">
      <c r="A13" s="16" t="s">
        <v>87</v>
      </c>
      <c r="B13" s="15"/>
      <c r="C13" s="15"/>
      <c r="D13" s="15"/>
      <c r="E13" s="15"/>
      <c r="F13" s="7"/>
      <c r="G13" s="7"/>
      <c r="H13" s="7" t="s">
        <v>70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9"/>
    </row>
    <row r="14" spans="1:22" ht="15.75" x14ac:dyDescent="0.5">
      <c r="A14" s="16" t="s">
        <v>62</v>
      </c>
      <c r="B14" s="15"/>
      <c r="C14" s="15"/>
      <c r="D14" s="15"/>
      <c r="E14" s="15"/>
      <c r="F14" s="7"/>
      <c r="G14" s="7"/>
      <c r="H14" s="7" t="s">
        <v>71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9"/>
    </row>
    <row r="15" spans="1:22" ht="15.75" x14ac:dyDescent="0.5">
      <c r="A15" s="16" t="s">
        <v>66</v>
      </c>
      <c r="B15" s="15"/>
      <c r="C15" s="15"/>
      <c r="D15" s="15"/>
      <c r="E15" s="15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9"/>
    </row>
    <row r="16" spans="1:22" ht="15.75" x14ac:dyDescent="0.5">
      <c r="A16" s="16" t="s">
        <v>67</v>
      </c>
      <c r="B16" s="15"/>
      <c r="C16" s="15"/>
      <c r="D16" s="15"/>
      <c r="E16" s="15"/>
      <c r="F16" s="7"/>
      <c r="G16" s="7"/>
      <c r="H16" s="25" t="s">
        <v>72</v>
      </c>
      <c r="I16" s="25"/>
      <c r="J16" s="25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9"/>
    </row>
    <row r="17" spans="1:22" ht="15.75" x14ac:dyDescent="0.5">
      <c r="A17" s="16" t="s">
        <v>84</v>
      </c>
      <c r="B17" s="15"/>
      <c r="C17" s="15"/>
      <c r="D17" s="15"/>
      <c r="E17" s="15"/>
      <c r="F17" s="7"/>
      <c r="G17" s="7"/>
      <c r="H17" s="7" t="s">
        <v>73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9"/>
    </row>
    <row r="18" spans="1:22" ht="15.75" x14ac:dyDescent="0.5">
      <c r="A18" s="16" t="s">
        <v>65</v>
      </c>
      <c r="B18" s="15"/>
      <c r="C18" s="15"/>
      <c r="D18" s="15"/>
      <c r="E18" s="15"/>
      <c r="F18" s="7"/>
      <c r="G18" s="7"/>
      <c r="H18" s="7" t="s">
        <v>74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9"/>
    </row>
    <row r="19" spans="1:22" ht="15.75" x14ac:dyDescent="0.5">
      <c r="A19" s="16" t="s">
        <v>63</v>
      </c>
      <c r="B19" s="15"/>
      <c r="C19" s="15"/>
      <c r="D19" s="15"/>
      <c r="E19" s="15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9"/>
    </row>
    <row r="20" spans="1:22" ht="15.75" x14ac:dyDescent="0.5">
      <c r="A20" s="8"/>
      <c r="B20" s="7"/>
      <c r="C20" s="7"/>
      <c r="D20" s="7"/>
      <c r="E20" s="7"/>
      <c r="F20" s="7"/>
      <c r="G20" s="7"/>
      <c r="H20" s="25" t="s">
        <v>75</v>
      </c>
      <c r="I20" s="25"/>
      <c r="J20" s="25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9"/>
    </row>
    <row r="21" spans="1:22" x14ac:dyDescent="0.45">
      <c r="A21" s="8"/>
      <c r="B21" s="7"/>
      <c r="C21" s="7"/>
      <c r="D21" s="7"/>
      <c r="E21" s="7"/>
      <c r="F21" s="7"/>
      <c r="G21" s="7"/>
      <c r="H21" s="7" t="s">
        <v>76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9"/>
    </row>
    <row r="22" spans="1:22" ht="25.5" x14ac:dyDescent="0.75">
      <c r="A22" s="31" t="s">
        <v>88</v>
      </c>
      <c r="B22" s="32"/>
      <c r="C22" s="7"/>
      <c r="D22" s="7"/>
      <c r="E22" s="7"/>
      <c r="F22" s="7"/>
      <c r="G22" s="7"/>
      <c r="H22" s="7" t="s">
        <v>77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9"/>
    </row>
    <row r="23" spans="1:22" ht="18" x14ac:dyDescent="0.45">
      <c r="A23" s="20"/>
      <c r="B23" s="7"/>
      <c r="C23" s="7"/>
      <c r="D23" s="7"/>
      <c r="E23" s="7"/>
      <c r="F23" s="18"/>
      <c r="G23" s="18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9"/>
    </row>
    <row r="24" spans="1:22" ht="15.75" x14ac:dyDescent="0.5">
      <c r="A24" s="21" t="s">
        <v>89</v>
      </c>
      <c r="B24" s="22"/>
      <c r="C24" s="22"/>
      <c r="D24" s="22"/>
      <c r="E24" s="22"/>
      <c r="F24" s="22"/>
      <c r="G24" s="22"/>
      <c r="H24" s="33" t="s">
        <v>78</v>
      </c>
      <c r="I24" s="26"/>
      <c r="J24" s="26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9"/>
    </row>
    <row r="25" spans="1:22" x14ac:dyDescent="0.45">
      <c r="A25" s="21" t="s">
        <v>90</v>
      </c>
      <c r="B25" s="22"/>
      <c r="C25" s="22"/>
      <c r="D25" s="22"/>
      <c r="E25" s="22"/>
      <c r="F25" s="22"/>
      <c r="G25" s="22"/>
      <c r="H25" s="7" t="s">
        <v>81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9"/>
    </row>
    <row r="26" spans="1:22" x14ac:dyDescent="0.45">
      <c r="A26" s="21" t="s">
        <v>91</v>
      </c>
      <c r="B26" s="22"/>
      <c r="C26" s="22"/>
      <c r="D26" s="22"/>
      <c r="E26" s="22"/>
      <c r="F26" s="22"/>
      <c r="G26" s="22"/>
      <c r="H26" s="7" t="s">
        <v>82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9"/>
    </row>
    <row r="27" spans="1:22" ht="15.75" x14ac:dyDescent="0.5">
      <c r="A27" s="20"/>
      <c r="B27" s="7"/>
      <c r="C27" s="7"/>
      <c r="D27" s="7"/>
      <c r="E27" s="7"/>
      <c r="F27" s="1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9"/>
    </row>
    <row r="28" spans="1:22" ht="25.5" x14ac:dyDescent="0.75">
      <c r="A28" s="23" t="s">
        <v>92</v>
      </c>
      <c r="B28" s="10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9"/>
    </row>
    <row r="29" spans="1:22" x14ac:dyDescent="0.45">
      <c r="A29" s="20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9"/>
    </row>
    <row r="30" spans="1:22" x14ac:dyDescent="0.45">
      <c r="A30" s="21" t="s">
        <v>93</v>
      </c>
      <c r="B30" s="22"/>
      <c r="C30" s="22"/>
      <c r="D30" s="22"/>
      <c r="E30" s="24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9"/>
    </row>
    <row r="31" spans="1:22" x14ac:dyDescent="0.45">
      <c r="A31" s="21" t="s">
        <v>94</v>
      </c>
      <c r="B31" s="22"/>
      <c r="C31" s="22"/>
      <c r="D31" s="22"/>
      <c r="E31" s="24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9"/>
    </row>
    <row r="32" spans="1:22" x14ac:dyDescent="0.45">
      <c r="A32" s="21" t="s">
        <v>95</v>
      </c>
      <c r="B32" s="22"/>
      <c r="C32" s="22"/>
      <c r="D32" s="22"/>
      <c r="E32" s="22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9"/>
    </row>
    <row r="33" spans="1:22" x14ac:dyDescent="0.45">
      <c r="A33" s="12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35" t="s">
        <v>96</v>
      </c>
      <c r="R33" s="35"/>
      <c r="S33" s="35"/>
      <c r="T33" s="35"/>
      <c r="U33" s="35"/>
      <c r="V33" s="13"/>
    </row>
  </sheetData>
  <mergeCells count="23">
    <mergeCell ref="A6:C6"/>
    <mergeCell ref="A7:B7"/>
    <mergeCell ref="A28:B28"/>
    <mergeCell ref="A30:D30"/>
    <mergeCell ref="A31:D31"/>
    <mergeCell ref="A32:E32"/>
    <mergeCell ref="A24:G24"/>
    <mergeCell ref="A25:G25"/>
    <mergeCell ref="A26:G26"/>
    <mergeCell ref="H12:J12"/>
    <mergeCell ref="H16:J16"/>
    <mergeCell ref="H20:J20"/>
    <mergeCell ref="A17:E17"/>
    <mergeCell ref="A14:E14"/>
    <mergeCell ref="A15:E15"/>
    <mergeCell ref="H8:L8"/>
    <mergeCell ref="A10:E10"/>
    <mergeCell ref="A12:E12"/>
    <mergeCell ref="A13:E13"/>
    <mergeCell ref="A18:E18"/>
    <mergeCell ref="A19:E19"/>
    <mergeCell ref="A16:E16"/>
    <mergeCell ref="A2:T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9F487-151B-44B3-8691-93DBB0F060C7}">
  <dimension ref="A1:K44"/>
  <sheetViews>
    <sheetView workbookViewId="0">
      <selection activeCell="F28" sqref="F28"/>
    </sheetView>
  </sheetViews>
  <sheetFormatPr defaultRowHeight="14.25" x14ac:dyDescent="0.45"/>
  <cols>
    <col min="1" max="1" width="28.9296875" style="6" customWidth="1"/>
    <col min="2" max="2" width="16.06640625" style="6" bestFit="1" customWidth="1"/>
    <col min="3" max="3" width="16.1328125" style="6" customWidth="1"/>
    <col min="4" max="4" width="9.53125" style="6" customWidth="1"/>
    <col min="5" max="5" width="14.1328125" style="6" bestFit="1" customWidth="1"/>
    <col min="6" max="6" width="8.265625" style="6" customWidth="1"/>
    <col min="7" max="7" width="11.19921875" style="6" customWidth="1"/>
    <col min="8" max="16384" width="9.06640625" style="6"/>
  </cols>
  <sheetData>
    <row r="1" spans="1:2" ht="30.4" customHeight="1" x14ac:dyDescent="0.45">
      <c r="A1" s="82" t="s">
        <v>6</v>
      </c>
      <c r="B1" s="44"/>
    </row>
    <row r="2" spans="1:2" x14ac:dyDescent="0.45">
      <c r="A2" s="39" t="s">
        <v>0</v>
      </c>
      <c r="B2" s="45">
        <v>37184.400000000001</v>
      </c>
    </row>
    <row r="3" spans="1:2" x14ac:dyDescent="0.45">
      <c r="A3" s="39" t="s">
        <v>7</v>
      </c>
      <c r="B3" s="46">
        <f>VLOOKUP($B$22,$A$23:$E$26,2,FALSE)</f>
        <v>0.04</v>
      </c>
    </row>
    <row r="4" spans="1:2" x14ac:dyDescent="0.45">
      <c r="A4" s="39" t="s">
        <v>1</v>
      </c>
      <c r="B4" s="45">
        <v>2936.6</v>
      </c>
    </row>
    <row r="5" spans="1:2" x14ac:dyDescent="0.45">
      <c r="A5" s="39" t="s">
        <v>8</v>
      </c>
      <c r="B5" s="47">
        <f>VLOOKUP($B$22,$A$23:$E$26,3,FALSE)</f>
        <v>0.08</v>
      </c>
    </row>
    <row r="6" spans="1:2" x14ac:dyDescent="0.45">
      <c r="A6" s="39" t="s">
        <v>3</v>
      </c>
      <c r="B6" s="78" t="s">
        <v>15</v>
      </c>
    </row>
    <row r="7" spans="1:2" x14ac:dyDescent="0.45">
      <c r="A7" s="39" t="s">
        <v>2</v>
      </c>
      <c r="B7" s="45">
        <v>1771.5</v>
      </c>
    </row>
    <row r="8" spans="1:2" x14ac:dyDescent="0.45">
      <c r="A8" s="39" t="s">
        <v>4</v>
      </c>
      <c r="B8" s="45">
        <v>-2305.5</v>
      </c>
    </row>
    <row r="9" spans="1:2" x14ac:dyDescent="0.45">
      <c r="A9" s="39" t="s">
        <v>5</v>
      </c>
      <c r="B9" s="45">
        <v>-1494.4</v>
      </c>
    </row>
    <row r="10" spans="1:2" x14ac:dyDescent="0.45">
      <c r="A10" s="39" t="s">
        <v>16</v>
      </c>
      <c r="B10" s="45">
        <v>-542</v>
      </c>
    </row>
    <row r="11" spans="1:2" x14ac:dyDescent="0.45">
      <c r="A11" s="39" t="s">
        <v>17</v>
      </c>
      <c r="B11" s="45">
        <v>650.6</v>
      </c>
    </row>
    <row r="12" spans="1:2" x14ac:dyDescent="0.45">
      <c r="A12" s="39"/>
      <c r="B12" s="9"/>
    </row>
    <row r="13" spans="1:2" x14ac:dyDescent="0.45">
      <c r="A13" s="39" t="s">
        <v>23</v>
      </c>
      <c r="B13" s="48">
        <f>VLOOKUP($B$22,$A$23:$E$26,4,FALSE)</f>
        <v>0.1</v>
      </c>
    </row>
    <row r="14" spans="1:2" x14ac:dyDescent="0.45">
      <c r="A14" s="39" t="s">
        <v>29</v>
      </c>
      <c r="B14" s="49">
        <f>VLOOKUP($B$22,$A$23:$E$26,5,FALSE)</f>
        <v>0.02</v>
      </c>
    </row>
    <row r="15" spans="1:2" x14ac:dyDescent="0.45">
      <c r="A15" s="39"/>
      <c r="B15" s="9"/>
    </row>
    <row r="16" spans="1:2" x14ac:dyDescent="0.45">
      <c r="A16" s="39" t="s">
        <v>34</v>
      </c>
      <c r="B16" s="9">
        <v>3219.8</v>
      </c>
    </row>
    <row r="17" spans="1:5" x14ac:dyDescent="0.45">
      <c r="A17" s="39" t="s">
        <v>35</v>
      </c>
      <c r="B17" s="9">
        <v>1498.9</v>
      </c>
    </row>
    <row r="18" spans="1:5" x14ac:dyDescent="0.45">
      <c r="A18" s="39" t="s">
        <v>36</v>
      </c>
      <c r="B18" s="9">
        <v>14575.9</v>
      </c>
    </row>
    <row r="19" spans="1:5" x14ac:dyDescent="0.45">
      <c r="A19" s="39" t="s">
        <v>32</v>
      </c>
      <c r="B19" s="50">
        <v>12855</v>
      </c>
    </row>
    <row r="20" spans="1:5" x14ac:dyDescent="0.45">
      <c r="A20" s="51" t="s">
        <v>33</v>
      </c>
      <c r="B20" s="52">
        <v>1136.9000000000001</v>
      </c>
    </row>
    <row r="21" spans="1:5" ht="14.65" thickBot="1" x14ac:dyDescent="0.5">
      <c r="B21" s="79"/>
    </row>
    <row r="22" spans="1:5" ht="15" thickTop="1" thickBot="1" x14ac:dyDescent="0.5">
      <c r="A22" s="80"/>
      <c r="B22" s="81" t="s">
        <v>43</v>
      </c>
    </row>
    <row r="23" spans="1:5" ht="36.4" customHeight="1" thickTop="1" x14ac:dyDescent="0.45">
      <c r="A23" s="53" t="s">
        <v>39</v>
      </c>
      <c r="B23" s="56" t="s">
        <v>40</v>
      </c>
      <c r="C23" s="54" t="s">
        <v>8</v>
      </c>
      <c r="D23" s="54" t="s">
        <v>23</v>
      </c>
      <c r="E23" s="55" t="s">
        <v>29</v>
      </c>
    </row>
    <row r="24" spans="1:5" x14ac:dyDescent="0.45">
      <c r="A24" s="39" t="s">
        <v>41</v>
      </c>
      <c r="B24" s="65">
        <v>0.06</v>
      </c>
      <c r="C24" s="65">
        <v>0.1</v>
      </c>
      <c r="D24" s="65">
        <v>0.09</v>
      </c>
      <c r="E24" s="68">
        <v>2.5000000000000001E-2</v>
      </c>
    </row>
    <row r="25" spans="1:5" x14ac:dyDescent="0.45">
      <c r="A25" s="39" t="s">
        <v>42</v>
      </c>
      <c r="B25" s="66">
        <v>0.08</v>
      </c>
      <c r="C25" s="66">
        <v>0.12</v>
      </c>
      <c r="D25" s="66">
        <v>0.08</v>
      </c>
      <c r="E25" s="69">
        <v>0.03</v>
      </c>
    </row>
    <row r="26" spans="1:5" x14ac:dyDescent="0.45">
      <c r="A26" s="51" t="s">
        <v>43</v>
      </c>
      <c r="B26" s="34">
        <v>0.04</v>
      </c>
      <c r="C26" s="34">
        <v>0.08</v>
      </c>
      <c r="D26" s="67">
        <v>0.1</v>
      </c>
      <c r="E26" s="70">
        <v>0.02</v>
      </c>
    </row>
    <row r="28" spans="1:5" x14ac:dyDescent="0.45">
      <c r="A28" s="61" t="s">
        <v>44</v>
      </c>
      <c r="B28" s="14"/>
      <c r="C28" s="71"/>
      <c r="D28" s="71"/>
      <c r="E28" s="19"/>
    </row>
    <row r="29" spans="1:5" x14ac:dyDescent="0.45">
      <c r="A29" s="62"/>
      <c r="B29" s="56" t="s">
        <v>45</v>
      </c>
      <c r="C29" s="64" t="s">
        <v>46</v>
      </c>
      <c r="D29" s="64" t="s">
        <v>23</v>
      </c>
      <c r="E29" s="57" t="s">
        <v>47</v>
      </c>
    </row>
    <row r="30" spans="1:5" ht="33.4" customHeight="1" x14ac:dyDescent="0.45">
      <c r="A30" s="63" t="s">
        <v>41</v>
      </c>
      <c r="B30" s="38" t="s">
        <v>48</v>
      </c>
      <c r="C30" s="72" t="s">
        <v>51</v>
      </c>
      <c r="D30" s="75" t="s">
        <v>97</v>
      </c>
      <c r="E30" s="58" t="s">
        <v>56</v>
      </c>
    </row>
    <row r="31" spans="1:5" ht="15.75" customHeight="1" x14ac:dyDescent="0.45">
      <c r="A31" s="63" t="s">
        <v>42</v>
      </c>
      <c r="B31" s="38" t="s">
        <v>49</v>
      </c>
      <c r="C31" s="73" t="s">
        <v>52</v>
      </c>
      <c r="D31" s="76" t="s">
        <v>54</v>
      </c>
      <c r="E31" s="58" t="s">
        <v>57</v>
      </c>
    </row>
    <row r="32" spans="1:5" x14ac:dyDescent="0.45">
      <c r="A32" s="64" t="s">
        <v>43</v>
      </c>
      <c r="B32" s="59" t="s">
        <v>50</v>
      </c>
      <c r="C32" s="74" t="s">
        <v>53</v>
      </c>
      <c r="D32" s="77" t="s">
        <v>55</v>
      </c>
      <c r="E32" s="60" t="s">
        <v>58</v>
      </c>
    </row>
    <row r="44" spans="11:11" x14ac:dyDescent="0.45">
      <c r="K44" s="6" t="s">
        <v>98</v>
      </c>
    </row>
  </sheetData>
  <dataValidations disablePrompts="1" count="1">
    <dataValidation type="list" allowBlank="1" showInputMessage="1" showErrorMessage="1" sqref="B22" xr:uid="{2F0D15F1-69D2-4A04-8DA1-76474CC16B7E}">
      <formula1>$A$24:$A$26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3FB19-3D05-4507-9868-FCC4B3F48BBF}">
  <dimension ref="A1:G12"/>
  <sheetViews>
    <sheetView workbookViewId="0">
      <selection activeCell="J60" sqref="J60"/>
    </sheetView>
  </sheetViews>
  <sheetFormatPr defaultRowHeight="14.25" x14ac:dyDescent="0.45"/>
  <cols>
    <col min="1" max="1" width="23.53125" style="6" bestFit="1" customWidth="1"/>
    <col min="2" max="2" width="8.6640625" style="6" bestFit="1" customWidth="1"/>
    <col min="3" max="3" width="11.9296875" style="6" customWidth="1"/>
    <col min="4" max="4" width="12.33203125" style="6" customWidth="1"/>
    <col min="5" max="5" width="12" style="6" customWidth="1"/>
    <col min="6" max="6" width="10.59765625" style="6" customWidth="1"/>
    <col min="7" max="7" width="11.3984375" style="6" customWidth="1"/>
    <col min="8" max="16384" width="9.06640625" style="6"/>
  </cols>
  <sheetData>
    <row r="1" spans="1:7" ht="26.25" customHeight="1" thickTop="1" x14ac:dyDescent="0.5">
      <c r="A1" s="100"/>
      <c r="B1" s="101" t="s">
        <v>18</v>
      </c>
      <c r="C1" s="101" t="s">
        <v>19</v>
      </c>
      <c r="D1" s="101" t="s">
        <v>20</v>
      </c>
      <c r="E1" s="101" t="s">
        <v>21</v>
      </c>
      <c r="F1" s="101" t="s">
        <v>14</v>
      </c>
      <c r="G1" s="102" t="s">
        <v>22</v>
      </c>
    </row>
    <row r="2" spans="1:7" x14ac:dyDescent="0.45">
      <c r="A2" s="71" t="s">
        <v>0</v>
      </c>
      <c r="B2" s="85">
        <f>INPUT!B2</f>
        <v>37184.400000000001</v>
      </c>
      <c r="C2" s="89">
        <f>B2*(1+$B$3)</f>
        <v>38671.776000000005</v>
      </c>
      <c r="D2" s="89">
        <f t="shared" ref="D2:G2" si="0">C2*(1+$B$3)</f>
        <v>40218.647040000003</v>
      </c>
      <c r="E2" s="89">
        <f t="shared" si="0"/>
        <v>41827.392921600003</v>
      </c>
      <c r="F2" s="89">
        <f t="shared" si="0"/>
        <v>43500.488638464005</v>
      </c>
      <c r="G2" s="89">
        <f t="shared" si="0"/>
        <v>45240.508184002567</v>
      </c>
    </row>
    <row r="3" spans="1:7" x14ac:dyDescent="0.45">
      <c r="A3" s="72" t="s">
        <v>7</v>
      </c>
      <c r="B3" s="86">
        <f>INPUT!B3</f>
        <v>0.04</v>
      </c>
      <c r="C3" s="88">
        <v>0.06</v>
      </c>
      <c r="D3" s="88">
        <v>0.06</v>
      </c>
      <c r="E3" s="88">
        <v>0.06</v>
      </c>
      <c r="F3" s="88">
        <v>0.06</v>
      </c>
      <c r="G3" s="88">
        <v>0.06</v>
      </c>
    </row>
    <row r="4" spans="1:7" x14ac:dyDescent="0.45">
      <c r="A4" s="72" t="s">
        <v>8</v>
      </c>
      <c r="B4" s="86">
        <f>INPUT!B5</f>
        <v>0.08</v>
      </c>
      <c r="C4" s="88">
        <v>0.1</v>
      </c>
      <c r="D4" s="88">
        <v>0.1</v>
      </c>
      <c r="E4" s="88">
        <v>0.1</v>
      </c>
      <c r="F4" s="88">
        <v>0.1</v>
      </c>
      <c r="G4" s="88">
        <v>0.1</v>
      </c>
    </row>
    <row r="5" spans="1:7" x14ac:dyDescent="0.45">
      <c r="A5" s="72" t="s">
        <v>1</v>
      </c>
      <c r="B5" s="87">
        <f>B2*B4</f>
        <v>2974.752</v>
      </c>
      <c r="C5" s="85">
        <f t="shared" ref="C5:G5" si="1">C2*C4</f>
        <v>3867.1776000000009</v>
      </c>
      <c r="D5" s="85">
        <f t="shared" si="1"/>
        <v>4021.8647040000005</v>
      </c>
      <c r="E5" s="85">
        <f t="shared" si="1"/>
        <v>4182.7392921600003</v>
      </c>
      <c r="F5" s="85">
        <f t="shared" si="1"/>
        <v>4350.0488638464003</v>
      </c>
      <c r="G5" s="85">
        <f t="shared" si="1"/>
        <v>4524.0508184002565</v>
      </c>
    </row>
    <row r="6" spans="1:7" x14ac:dyDescent="0.45">
      <c r="A6" s="72" t="s">
        <v>9</v>
      </c>
      <c r="B6" s="88">
        <v>0.26</v>
      </c>
      <c r="C6" s="88">
        <v>0.26</v>
      </c>
      <c r="D6" s="88">
        <v>0.26</v>
      </c>
      <c r="E6" s="88">
        <v>0.26</v>
      </c>
      <c r="F6" s="88">
        <v>0.26</v>
      </c>
      <c r="G6" s="88">
        <v>0.26</v>
      </c>
    </row>
    <row r="7" spans="1:7" x14ac:dyDescent="0.45">
      <c r="A7" s="72" t="s">
        <v>10</v>
      </c>
      <c r="B7" s="86">
        <f>B5*(1-B6)</f>
        <v>2201.31648</v>
      </c>
      <c r="C7" s="88">
        <f t="shared" ref="C7:D7" si="2">C5*(1-C6)</f>
        <v>2861.7114240000005</v>
      </c>
      <c r="D7" s="88">
        <f t="shared" si="2"/>
        <v>2976.1798809600004</v>
      </c>
      <c r="E7" s="88">
        <f>E5*(1-E6)</f>
        <v>3095.2270761984</v>
      </c>
      <c r="F7" s="88">
        <f t="shared" ref="F7" si="3">F5*(1-F6)</f>
        <v>3219.0361592463364</v>
      </c>
      <c r="G7" s="88">
        <f t="shared" ref="G7" si="4">G5*(1-G6)</f>
        <v>3347.7976056161897</v>
      </c>
    </row>
    <row r="8" spans="1:7" x14ac:dyDescent="0.45">
      <c r="A8" s="72" t="s">
        <v>11</v>
      </c>
      <c r="B8" s="85">
        <f>INPUT!B7</f>
        <v>1771.5</v>
      </c>
      <c r="C8" s="86">
        <f>B8*(1+B3)</f>
        <v>1842.3600000000001</v>
      </c>
      <c r="D8" s="88">
        <f t="shared" ref="D8:G8" si="5">C8*(1+C3)</f>
        <v>1952.9016000000001</v>
      </c>
      <c r="E8" s="88">
        <f t="shared" si="5"/>
        <v>2070.0756960000003</v>
      </c>
      <c r="F8" s="88">
        <f t="shared" si="5"/>
        <v>2194.2802377600005</v>
      </c>
      <c r="G8" s="88">
        <f t="shared" si="5"/>
        <v>2325.9370520256007</v>
      </c>
    </row>
    <row r="9" spans="1:7" x14ac:dyDescent="0.45">
      <c r="A9" s="72" t="s">
        <v>4</v>
      </c>
      <c r="B9" s="85">
        <f>INPUT!B8</f>
        <v>-2305.5</v>
      </c>
      <c r="C9" s="86">
        <f>B9*(1+B3)</f>
        <v>-2397.7200000000003</v>
      </c>
      <c r="D9" s="88">
        <f t="shared" ref="D9:G9" si="6">C9*(1+C3)</f>
        <v>-2541.5832000000005</v>
      </c>
      <c r="E9" s="88">
        <f t="shared" si="6"/>
        <v>-2694.0781920000009</v>
      </c>
      <c r="F9" s="88">
        <f t="shared" si="6"/>
        <v>-2855.7228835200012</v>
      </c>
      <c r="G9" s="88">
        <f t="shared" si="6"/>
        <v>-3027.0662565312014</v>
      </c>
    </row>
    <row r="10" spans="1:7" x14ac:dyDescent="0.45">
      <c r="A10" s="72" t="s">
        <v>12</v>
      </c>
      <c r="B10" s="85">
        <f>INPUT!B9</f>
        <v>-1494.4</v>
      </c>
      <c r="C10" s="86">
        <f>B10*(1+B3)</f>
        <v>-1554.1760000000002</v>
      </c>
      <c r="D10" s="88">
        <f t="shared" ref="D10:G10" si="7">C10*(1+C3)</f>
        <v>-1647.4265600000003</v>
      </c>
      <c r="E10" s="88">
        <f t="shared" si="7"/>
        <v>-1746.2721536000004</v>
      </c>
      <c r="F10" s="88">
        <f t="shared" si="7"/>
        <v>-1851.0484828160004</v>
      </c>
      <c r="G10" s="88">
        <f t="shared" si="7"/>
        <v>-1962.1113917849605</v>
      </c>
    </row>
    <row r="11" spans="1:7" x14ac:dyDescent="0.45">
      <c r="A11" s="72" t="s">
        <v>13</v>
      </c>
      <c r="B11" s="72"/>
      <c r="C11" s="85">
        <f>B7+B8-(B9)-(B10)</f>
        <v>7772.7164799999991</v>
      </c>
      <c r="D11" s="85">
        <f t="shared" ref="D11:G11" si="8">C7+C8-(C9)-(C10)</f>
        <v>8655.9674240000004</v>
      </c>
      <c r="E11" s="85">
        <f t="shared" si="8"/>
        <v>9118.0912409600005</v>
      </c>
      <c r="F11" s="85">
        <f t="shared" si="8"/>
        <v>9605.6531177984016</v>
      </c>
      <c r="G11" s="85">
        <f t="shared" si="8"/>
        <v>10120.087763342339</v>
      </c>
    </row>
    <row r="12" spans="1:7" x14ac:dyDescent="0.45">
      <c r="A12" s="62"/>
      <c r="B12" s="62"/>
      <c r="C12" s="62"/>
      <c r="D12" s="62"/>
      <c r="E12" s="62"/>
      <c r="F12" s="62"/>
      <c r="G12" s="6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C0587-FD2F-408F-9BBB-C91F4CD7CF57}">
  <dimension ref="A1:G16"/>
  <sheetViews>
    <sheetView workbookViewId="0">
      <selection activeCell="O47" sqref="O47"/>
    </sheetView>
  </sheetViews>
  <sheetFormatPr defaultRowHeight="14.25" x14ac:dyDescent="0.45"/>
  <cols>
    <col min="1" max="1" width="16.9296875" style="6" bestFit="1" customWidth="1"/>
    <col min="2" max="2" width="14.73046875" style="6" customWidth="1"/>
    <col min="3" max="3" width="9.06640625" style="6"/>
    <col min="4" max="4" width="16.86328125" style="6" bestFit="1" customWidth="1"/>
    <col min="5" max="5" width="11.06640625" style="6" bestFit="1" customWidth="1"/>
    <col min="6" max="16384" width="9.06640625" style="6"/>
  </cols>
  <sheetData>
    <row r="1" spans="1:7" ht="21.75" customHeight="1" x14ac:dyDescent="0.55000000000000004">
      <c r="A1" s="94" t="s">
        <v>24</v>
      </c>
      <c r="B1" s="95" t="s">
        <v>25</v>
      </c>
      <c r="C1" s="96" t="s">
        <v>23</v>
      </c>
      <c r="D1" s="95" t="s">
        <v>26</v>
      </c>
      <c r="E1" s="97" t="s">
        <v>27</v>
      </c>
      <c r="F1" s="7"/>
      <c r="G1" s="7"/>
    </row>
    <row r="2" spans="1:7" x14ac:dyDescent="0.45">
      <c r="A2" s="39" t="s">
        <v>19</v>
      </c>
      <c r="B2" s="85">
        <f>PROJECTIONS!C11</f>
        <v>7772.7164799999991</v>
      </c>
      <c r="C2" s="90">
        <f>INPUT!$B$13</f>
        <v>0.1</v>
      </c>
      <c r="D2" s="72">
        <f>1/(1+$C2)^1</f>
        <v>0.90909090909090906</v>
      </c>
      <c r="E2" s="91">
        <f>B2*D2</f>
        <v>7066.1058909090898</v>
      </c>
      <c r="F2" s="7"/>
      <c r="G2" s="7"/>
    </row>
    <row r="3" spans="1:7" x14ac:dyDescent="0.45">
      <c r="A3" s="39" t="s">
        <v>20</v>
      </c>
      <c r="B3" s="85">
        <f>PROJECTIONS!D11</f>
        <v>8655.9674240000004</v>
      </c>
      <c r="C3" s="90">
        <f>INPUT!$B$13</f>
        <v>0.1</v>
      </c>
      <c r="D3" s="72">
        <f>1/(1+$C3)^2</f>
        <v>0.82644628099173545</v>
      </c>
      <c r="E3" s="91">
        <f t="shared" ref="E3:E6" si="0">B3*D3</f>
        <v>7153.6920859504125</v>
      </c>
      <c r="F3" s="7"/>
      <c r="G3" s="7"/>
    </row>
    <row r="4" spans="1:7" x14ac:dyDescent="0.45">
      <c r="A4" s="39" t="s">
        <v>21</v>
      </c>
      <c r="B4" s="85">
        <f>PROJECTIONS!E11</f>
        <v>9118.0912409600005</v>
      </c>
      <c r="C4" s="90">
        <f>INPUT!$B$13</f>
        <v>0.1</v>
      </c>
      <c r="D4" s="72">
        <f>1/(1+$C4)^3</f>
        <v>0.75131480090157754</v>
      </c>
      <c r="E4" s="91">
        <f t="shared" si="0"/>
        <v>6850.5569053042809</v>
      </c>
      <c r="F4" s="7"/>
      <c r="G4" s="7"/>
    </row>
    <row r="5" spans="1:7" x14ac:dyDescent="0.45">
      <c r="A5" s="39" t="s">
        <v>14</v>
      </c>
      <c r="B5" s="85">
        <f>PROJECTIONS!F11</f>
        <v>9605.6531177984016</v>
      </c>
      <c r="C5" s="90">
        <f>INPUT!$B$13</f>
        <v>0.1</v>
      </c>
      <c r="D5" s="72">
        <f>1/(1+$C5)^4</f>
        <v>0.68301345536507052</v>
      </c>
      <c r="E5" s="91">
        <f t="shared" si="0"/>
        <v>6560.7903270257493</v>
      </c>
      <c r="F5" s="7"/>
      <c r="G5" s="7"/>
    </row>
    <row r="6" spans="1:7" x14ac:dyDescent="0.45">
      <c r="A6" s="39" t="s">
        <v>22</v>
      </c>
      <c r="B6" s="85">
        <f>PROJECTIONS!G11</f>
        <v>10120.087763342339</v>
      </c>
      <c r="C6" s="90">
        <f>INPUT!$B$13</f>
        <v>0.1</v>
      </c>
      <c r="D6" s="72">
        <f>1/(1+$C6)^5</f>
        <v>0.62092132305915493</v>
      </c>
      <c r="E6" s="91">
        <f t="shared" si="0"/>
        <v>6283.7782834892887</v>
      </c>
      <c r="F6" s="7"/>
      <c r="G6" s="7"/>
    </row>
    <row r="7" spans="1:7" x14ac:dyDescent="0.45">
      <c r="A7" s="39" t="s">
        <v>28</v>
      </c>
      <c r="B7" s="72"/>
      <c r="C7" s="9"/>
      <c r="D7" s="72"/>
      <c r="E7" s="91">
        <f>SUM(E2:E6)</f>
        <v>33914.923492678819</v>
      </c>
      <c r="F7" s="7"/>
      <c r="G7" s="7"/>
    </row>
    <row r="8" spans="1:7" x14ac:dyDescent="0.45">
      <c r="A8" s="39" t="s">
        <v>30</v>
      </c>
      <c r="B8" s="72">
        <f>B6*(1+INPUT!B14)/(INPUT!B13-INPUT!B14)</f>
        <v>129031.11898261482</v>
      </c>
      <c r="C8" s="9"/>
      <c r="D8" s="72"/>
      <c r="E8" s="91">
        <f>B8*D6</f>
        <v>80118.17311448844</v>
      </c>
      <c r="F8" s="7"/>
      <c r="G8" s="7"/>
    </row>
    <row r="9" spans="1:7" x14ac:dyDescent="0.45">
      <c r="A9" s="51" t="s">
        <v>31</v>
      </c>
      <c r="B9" s="62"/>
      <c r="C9" s="13"/>
      <c r="D9" s="62"/>
      <c r="E9" s="93">
        <f>E7+E8</f>
        <v>114033.09660716726</v>
      </c>
      <c r="F9" s="7"/>
      <c r="G9" s="7"/>
    </row>
    <row r="10" spans="1:7" x14ac:dyDescent="0.45">
      <c r="A10" s="39"/>
      <c r="B10" s="7"/>
      <c r="C10" s="7"/>
      <c r="D10" s="7"/>
      <c r="E10" s="40"/>
      <c r="F10" s="7"/>
      <c r="G10" s="7"/>
    </row>
    <row r="11" spans="1:7" x14ac:dyDescent="0.45">
      <c r="A11" s="39"/>
      <c r="B11" s="7"/>
      <c r="C11" s="7"/>
      <c r="D11" s="7"/>
      <c r="E11" s="40"/>
      <c r="F11" s="7"/>
      <c r="G11" s="7"/>
    </row>
    <row r="12" spans="1:7" x14ac:dyDescent="0.45">
      <c r="A12" s="39" t="s">
        <v>37</v>
      </c>
      <c r="B12" s="84">
        <f>E9-INPUT!B19</f>
        <v>101178.09660716726</v>
      </c>
      <c r="C12" s="7"/>
      <c r="D12" s="7"/>
      <c r="E12" s="40"/>
      <c r="F12" s="7"/>
      <c r="G12" s="7"/>
    </row>
    <row r="13" spans="1:7" ht="14.65" thickBot="1" x14ac:dyDescent="0.5">
      <c r="A13" s="41" t="s">
        <v>38</v>
      </c>
      <c r="B13" s="92">
        <f>B12/INPUT!B20</f>
        <v>88.994719506700022</v>
      </c>
      <c r="C13" s="42"/>
      <c r="D13" s="42"/>
      <c r="E13" s="43"/>
      <c r="F13" s="7"/>
      <c r="G13" s="7"/>
    </row>
    <row r="14" spans="1:7" x14ac:dyDescent="0.45">
      <c r="F14" s="7"/>
      <c r="G14" s="7"/>
    </row>
    <row r="15" spans="1:7" x14ac:dyDescent="0.45">
      <c r="F15" s="7"/>
      <c r="G15" s="7"/>
    </row>
    <row r="16" spans="1:7" x14ac:dyDescent="0.45">
      <c r="F16" s="7"/>
      <c r="G16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4AA8F-FC95-46C8-BEFC-FE3540A97C0D}">
  <dimension ref="A3:F6"/>
  <sheetViews>
    <sheetView workbookViewId="0">
      <selection activeCell="I54" sqref="I54"/>
    </sheetView>
  </sheetViews>
  <sheetFormatPr defaultRowHeight="14.25" x14ac:dyDescent="0.45"/>
  <cols>
    <col min="1" max="1" width="9.06640625" style="6"/>
    <col min="2" max="2" width="15.59765625" style="6" bestFit="1" customWidth="1"/>
    <col min="3" max="3" width="16.46484375" style="6" bestFit="1" customWidth="1"/>
    <col min="4" max="4" width="9.06640625" style="6"/>
    <col min="5" max="5" width="16.53125" style="6" customWidth="1"/>
    <col min="6" max="6" width="18.59765625" style="6" bestFit="1" customWidth="1"/>
    <col min="7" max="16384" width="9.06640625" style="6"/>
  </cols>
  <sheetData>
    <row r="3" spans="1:6" ht="15.75" x14ac:dyDescent="0.5">
      <c r="A3" s="83" t="s">
        <v>39</v>
      </c>
      <c r="B3" s="83" t="s">
        <v>40</v>
      </c>
      <c r="C3" s="83" t="s">
        <v>8</v>
      </c>
      <c r="D3" s="83" t="s">
        <v>23</v>
      </c>
      <c r="E3" s="83" t="s">
        <v>29</v>
      </c>
      <c r="F3" s="83" t="s">
        <v>59</v>
      </c>
    </row>
    <row r="4" spans="1:6" x14ac:dyDescent="0.45">
      <c r="A4" s="2" t="s">
        <v>41</v>
      </c>
      <c r="B4" s="2">
        <f>VLOOKUP("Base Case",INPUT!A23:E26,2,FALSE)</f>
        <v>0.06</v>
      </c>
      <c r="C4" s="3">
        <f>VLOOKUP("Base Case",INPUT!A23:E26,3,FALSE)</f>
        <v>0.1</v>
      </c>
      <c r="D4" s="2">
        <f>VLOOKUP("Base Case",INPUT!A23:E26,4,FALSE)</f>
        <v>0.09</v>
      </c>
      <c r="E4" s="2">
        <f>VLOOKUP("Base Case",INPUT!A23:E26,5,FALSE)</f>
        <v>2.5000000000000001E-2</v>
      </c>
      <c r="F4" s="2">
        <v>115</v>
      </c>
    </row>
    <row r="5" spans="1:6" x14ac:dyDescent="0.45">
      <c r="A5" s="1" t="s">
        <v>60</v>
      </c>
      <c r="B5" s="1">
        <f>VLOOKUP("Bull Case",INPUT!A23:E26,2,FALSE)</f>
        <v>0.08</v>
      </c>
      <c r="C5" s="1">
        <f>VLOOKUP("Bull Case",INPUT!A23:E26,3,FALSE)</f>
        <v>0.12</v>
      </c>
      <c r="D5" s="1">
        <f>VLOOKUP("Bull Case",INPUT!A24:E27,4,FALSE)</f>
        <v>0.08</v>
      </c>
      <c r="E5" s="1">
        <f>VLOOKUP("Bull Case",INPUT!A24:E27,5,FALSE)</f>
        <v>0.03</v>
      </c>
      <c r="F5" s="1">
        <v>157</v>
      </c>
    </row>
    <row r="6" spans="1:6" x14ac:dyDescent="0.45">
      <c r="A6" s="4" t="s">
        <v>43</v>
      </c>
      <c r="B6" s="4">
        <f>VLOOKUP("Bear Case",INPUT!A23:E26,2,FALSE)</f>
        <v>0.04</v>
      </c>
      <c r="C6" s="4">
        <f>VLOOKUP("Bear Case",INPUT!A23:E26,3,FALSE)</f>
        <v>0.08</v>
      </c>
      <c r="D6" s="5">
        <f>VLOOKUP("Bear Case",INPUT!A25:E27,4,FALSE)</f>
        <v>0.1</v>
      </c>
      <c r="E6" s="4">
        <f>VLOOKUP("Bear Case",INPUT!A25:E27,5,FALSE)</f>
        <v>0.02</v>
      </c>
      <c r="F6" s="4">
        <v>89</v>
      </c>
    </row>
  </sheetData>
  <conditionalFormatting sqref="A3:F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{A329BD26-1AED-4CA4-A9D3-F998000299F3}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329BD26-1AED-4CA4-A9D3-F998000299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A3:F6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STARBUCKS</vt:lpstr>
      <vt:lpstr>INPUT</vt:lpstr>
      <vt:lpstr>PROJECTIONS</vt:lpstr>
      <vt:lpstr>DCF CALCULATION</vt:lpstr>
      <vt:lpstr>SCENARIO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Nitya Jignasu</dc:creator>
  <cp:lastModifiedBy>NITYA Jignasu</cp:lastModifiedBy>
  <dcterms:created xsi:type="dcterms:W3CDTF">2015-06-05T18:17:20Z</dcterms:created>
  <dcterms:modified xsi:type="dcterms:W3CDTF">2025-11-24T23:34:58Z</dcterms:modified>
</cp:coreProperties>
</file>